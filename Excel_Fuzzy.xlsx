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B273AD3-47D7-43BC-B48B-F7E988A51208}" xr6:coauthVersionLast="47" xr6:coauthVersionMax="47" xr10:uidLastSave="{00000000-0000-0000-0000-000000000000}"/>
  <bookViews>
    <workbookView xWindow="-108" yWindow="-108" windowWidth="23256" windowHeight="12456" xr2:uid="{A64FD3BA-4048-4936-B92E-35563D4F6D3E}"/>
  </bookViews>
  <sheets>
    <sheet name="FuzzySuhudanKelembap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" i="1" l="1"/>
  <c r="D43" i="1"/>
  <c r="D55" i="1"/>
  <c r="D56" i="1"/>
  <c r="D42" i="1"/>
</calcChain>
</file>

<file path=xl/sharedStrings.xml><?xml version="1.0" encoding="utf-8"?>
<sst xmlns="http://schemas.openxmlformats.org/spreadsheetml/2006/main" count="138" uniqueCount="48">
  <si>
    <t>Kondisi Suhu</t>
  </si>
  <si>
    <t>FUZZY LOGIC DAN INFERENSI</t>
  </si>
  <si>
    <t>Persen Kelembapan</t>
  </si>
  <si>
    <t>Dingin</t>
  </si>
  <si>
    <t xml:space="preserve">Dingin </t>
  </si>
  <si>
    <t xml:space="preserve">Sejuk </t>
  </si>
  <si>
    <t>Sejuk</t>
  </si>
  <si>
    <t>Normal</t>
  </si>
  <si>
    <t>Hangat</t>
  </si>
  <si>
    <t>Panas</t>
  </si>
  <si>
    <t xml:space="preserve">Kering </t>
  </si>
  <si>
    <t xml:space="preserve">Normal </t>
  </si>
  <si>
    <t xml:space="preserve">Basah </t>
  </si>
  <si>
    <t>Basah</t>
  </si>
  <si>
    <t>Sebentar</t>
  </si>
  <si>
    <t>Agak Sebentar</t>
  </si>
  <si>
    <t xml:space="preserve">Cepat </t>
  </si>
  <si>
    <t>Sedang</t>
  </si>
  <si>
    <t>Agak Lumayan</t>
  </si>
  <si>
    <t>Lumayan Lama</t>
  </si>
  <si>
    <t>Lama</t>
  </si>
  <si>
    <t>Lumayan</t>
  </si>
  <si>
    <t>Waktu</t>
  </si>
  <si>
    <t>Nilai Fuzzy</t>
  </si>
  <si>
    <t>Index</t>
  </si>
  <si>
    <t xml:space="preserve">Diketahui </t>
  </si>
  <si>
    <t>Suhu = 37,5 derajat</t>
  </si>
  <si>
    <t>Kelembapan : 23%</t>
  </si>
  <si>
    <t>Nilai</t>
  </si>
  <si>
    <t xml:space="preserve">Agak Lumayan </t>
  </si>
  <si>
    <t>Hasil Defuz</t>
  </si>
  <si>
    <t xml:space="preserve">Waktu Penyiramannya  : </t>
  </si>
  <si>
    <t xml:space="preserve">Sedang </t>
  </si>
  <si>
    <t>0 - 2 Men</t>
  </si>
  <si>
    <t>1 - 3 Men</t>
  </si>
  <si>
    <t>2,5 - 5 men</t>
  </si>
  <si>
    <t>3,75 - 6,25 Men</t>
  </si>
  <si>
    <t>5 - 7,5 Men</t>
  </si>
  <si>
    <t>7 - 9 Men</t>
  </si>
  <si>
    <t>8 - 10 Men</t>
  </si>
  <si>
    <t>Pembuatan Rentang Waktu</t>
  </si>
  <si>
    <t xml:space="preserve">Rumus Mamdani </t>
  </si>
  <si>
    <t xml:space="preserve">z* </t>
  </si>
  <si>
    <t xml:space="preserve">Disjuction </t>
  </si>
  <si>
    <t xml:space="preserve">0,5 V 0,1 </t>
  </si>
  <si>
    <t>Hasil</t>
  </si>
  <si>
    <t xml:space="preserve">Waktunya adalah </t>
  </si>
  <si>
    <t>Fuzzy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</si>
</sst>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2" applyNumberFormat="0" applyFont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3" borderId="2" xfId="3" applyFont="1"/>
    <xf numFmtId="0" fontId="5" fillId="3" borderId="2" xfId="3" applyFont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4" borderId="4" xfId="0" applyFill="1" applyBorder="1"/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5" borderId="4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0" fillId="0" borderId="6" xfId="0" applyBorder="1"/>
    <xf numFmtId="0" fontId="4" fillId="0" borderId="0" xfId="0" applyFont="1"/>
    <xf numFmtId="0" fontId="3" fillId="2" borderId="0" xfId="2"/>
    <xf numFmtId="0" fontId="0" fillId="6" borderId="4" xfId="0" applyFill="1" applyBorder="1"/>
    <xf numFmtId="0" fontId="0" fillId="6" borderId="11" xfId="0" applyFill="1" applyBorder="1"/>
    <xf numFmtId="0" fontId="5" fillId="6" borderId="4" xfId="0" applyFont="1" applyFill="1" applyBorder="1"/>
    <xf numFmtId="0" fontId="4" fillId="7" borderId="0" xfId="0" applyFont="1" applyFill="1"/>
    <xf numFmtId="0" fontId="0" fillId="7" borderId="0" xfId="0" applyFill="1"/>
    <xf numFmtId="0" fontId="2" fillId="0" borderId="1" xfId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Heading 3" xfId="1" builtinId="18"/>
    <cellStyle name="Neutral" xfId="2" builtinId="28"/>
    <cellStyle name="Normal" xfId="0" builtinId="0"/>
    <cellStyle name="Note" xfId="3" builtinId="1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225239</xdr:colOff>
      <xdr:row>37</xdr:row>
      <xdr:rowOff>17929</xdr:rowOff>
    </xdr:from>
    <xdr:to>
      <xdr:col>7</xdr:col>
      <xdr:colOff>89055</xdr:colOff>
      <xdr:row>48</xdr:row>
      <xdr:rowOff>92090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F224E45-2854-1518-BFE5-6A597DE09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4910" y="6660776"/>
          <a:ext cx="3476593" cy="2046396"/>
        </a:xfrm>
        <a:prstGeom prst="rect">
          <a:avLst/>
        </a:prstGeom>
      </xdr:spPr>
    </xdr:pic>
    <xdr:clientData/>
  </xdr:twoCellAnchor>
  <xdr:twoCellAnchor editAs="oneCell">
    <xdr:from>
      <xdr:col>4</xdr:col>
      <xdr:colOff>269896</xdr:colOff>
      <xdr:row>50</xdr:row>
      <xdr:rowOff>21770</xdr:rowOff>
    </xdr:from>
    <xdr:to>
      <xdr:col>7</xdr:col>
      <xdr:colOff>13787</xdr:colOff>
      <xdr:row>61</xdr:row>
      <xdr:rowOff>19877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FE87BAFA-20F5-5051-FAB7-A32F2792B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0261" y="9304918"/>
          <a:ext cx="3355109" cy="20389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90BCE-B976-455B-AE0B-B023AC391AEE}" name="Tabel2" displayName="Tabel2" ref="C2:E17" totalsRowShown="0" headerRowDxfId="11">
  <autoFilter ref="C2:E17" xr:uid="{4A190BCE-B976-455B-AE0B-B023AC391AEE}"/>
  <tableColumns count="3">
    <tableColumn id="1" xr3:uid="{E5C2706A-CACC-405D-836A-C9989E55E177}" name="Kondisi Suhu"/>
    <tableColumn id="2" xr3:uid="{CACDDB84-8714-42A1-8F87-7E0E7AD64713}" name="Persen Kelembapan"/>
    <tableColumn id="3" xr3:uid="{9ED6DF25-A6FF-4F39-92A0-3836BF73D54C}" name="Waktu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C39830-6896-4437-BDDE-516710BF67AC}" name="Tabel24" displayName="Tabel24" ref="C21:I36" totalsRowShown="0" headerRowDxfId="10" headerRowBorderDxfId="9" tableBorderDxfId="8" totalsRowBorderDxfId="7">
  <autoFilter ref="C21:I36" xr:uid="{25C39830-6896-4437-BDDE-516710BF67AC}"/>
  <tableColumns count="7">
    <tableColumn id="1" xr3:uid="{09B226FA-9C55-4AAC-8F1F-69764058719F}" name="Kondisi Suhu" dataDxfId="6"/>
    <tableColumn id="5" xr3:uid="{9B658C23-C579-471E-8E2D-7C46998FC8BD}" name="Nilai" dataDxfId="5"/>
    <tableColumn id="2" xr3:uid="{DD995901-48DD-4955-9B3C-7D479244B7B9}" name="Persen Kelembapan" dataDxfId="4"/>
    <tableColumn id="6" xr3:uid="{875C654D-53F1-4759-A2BD-9AED0224DA4B}" name="Nilai Fuzzy" dataDxfId="3"/>
    <tableColumn id="3" xr3:uid="{F5520E65-ACDC-4812-B19E-AFFFCE7AF6A3}" name="Waktu" dataDxfId="2"/>
    <tableColumn id="7" xr3:uid="{8107B3FB-D0E9-4807-9EF8-7FB92387DA3D}" name="Index" dataDxfId="1"/>
    <tableColumn id="8" xr3:uid="{7ED4E727-23BD-4B95-84DE-2D580EF8582D}" name="Hasil Defuz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55BA-C54E-4BB4-AD02-AC49321A2D9D}">
  <dimension ref="C1:M56"/>
  <sheetViews>
    <sheetView tabSelected="1" topLeftCell="A16" zoomScale="70" zoomScaleNormal="70" workbookViewId="0">
      <selection activeCell="C21" sqref="C21:I36"/>
    </sheetView>
  </sheetViews>
  <sheetFormatPr defaultRowHeight="14.4" x14ac:dyDescent="0.3"/>
  <cols>
    <col min="2" max="2" width="11.109375" bestFit="1" customWidth="1"/>
    <col min="3" max="3" width="16.33203125" bestFit="1" customWidth="1"/>
    <col min="4" max="4" width="18.33203125" customWidth="1"/>
    <col min="5" max="5" width="22.33203125" bestFit="1" customWidth="1"/>
    <col min="6" max="6" width="17" customWidth="1"/>
    <col min="7" max="7" width="13.33203125" bestFit="1" customWidth="1"/>
    <col min="8" max="8" width="19.77734375" customWidth="1"/>
    <col min="9" max="9" width="16.33203125" customWidth="1"/>
    <col min="10" max="10" width="20.109375" customWidth="1"/>
    <col min="11" max="11" width="22" bestFit="1" customWidth="1"/>
    <col min="12" max="13" width="14.109375" bestFit="1" customWidth="1"/>
  </cols>
  <sheetData>
    <row r="1" spans="3:5" ht="15" thickBot="1" x14ac:dyDescent="0.35">
      <c r="C1" s="26" t="s">
        <v>1</v>
      </c>
      <c r="D1" s="26"/>
      <c r="E1" s="26"/>
    </row>
    <row r="2" spans="3:5" x14ac:dyDescent="0.3">
      <c r="C2" s="1" t="s">
        <v>0</v>
      </c>
      <c r="D2" s="1" t="s">
        <v>2</v>
      </c>
      <c r="E2" s="1" t="s">
        <v>22</v>
      </c>
    </row>
    <row r="3" spans="3:5" x14ac:dyDescent="0.3">
      <c r="C3" t="s">
        <v>3</v>
      </c>
      <c r="D3" t="s">
        <v>10</v>
      </c>
      <c r="E3" t="s">
        <v>15</v>
      </c>
    </row>
    <row r="4" spans="3:5" x14ac:dyDescent="0.3">
      <c r="C4" t="s">
        <v>4</v>
      </c>
      <c r="D4" t="s">
        <v>11</v>
      </c>
      <c r="E4" t="s">
        <v>14</v>
      </c>
    </row>
    <row r="5" spans="3:5" x14ac:dyDescent="0.3">
      <c r="C5" t="s">
        <v>3</v>
      </c>
      <c r="D5" t="s">
        <v>12</v>
      </c>
      <c r="E5" t="s">
        <v>16</v>
      </c>
    </row>
    <row r="6" spans="3:5" x14ac:dyDescent="0.3">
      <c r="C6" t="s">
        <v>5</v>
      </c>
      <c r="D6" t="s">
        <v>10</v>
      </c>
      <c r="E6" t="s">
        <v>17</v>
      </c>
    </row>
    <row r="7" spans="3:5" x14ac:dyDescent="0.3">
      <c r="C7" t="s">
        <v>5</v>
      </c>
      <c r="D7" t="s">
        <v>11</v>
      </c>
      <c r="E7" t="s">
        <v>15</v>
      </c>
    </row>
    <row r="8" spans="3:5" x14ac:dyDescent="0.3">
      <c r="C8" t="s">
        <v>6</v>
      </c>
      <c r="D8" t="s">
        <v>12</v>
      </c>
      <c r="E8" t="s">
        <v>14</v>
      </c>
    </row>
    <row r="9" spans="3:5" x14ac:dyDescent="0.3">
      <c r="C9" t="s">
        <v>7</v>
      </c>
      <c r="D9" t="s">
        <v>10</v>
      </c>
      <c r="E9" t="s">
        <v>18</v>
      </c>
    </row>
    <row r="10" spans="3:5" x14ac:dyDescent="0.3">
      <c r="C10" t="s">
        <v>7</v>
      </c>
      <c r="D10" t="s">
        <v>11</v>
      </c>
      <c r="E10" t="s">
        <v>17</v>
      </c>
    </row>
    <row r="11" spans="3:5" x14ac:dyDescent="0.3">
      <c r="C11" t="s">
        <v>7</v>
      </c>
      <c r="D11" t="s">
        <v>12</v>
      </c>
      <c r="E11" t="s">
        <v>15</v>
      </c>
    </row>
    <row r="12" spans="3:5" x14ac:dyDescent="0.3">
      <c r="C12" t="s">
        <v>8</v>
      </c>
      <c r="D12" t="s">
        <v>10</v>
      </c>
      <c r="E12" t="s">
        <v>19</v>
      </c>
    </row>
    <row r="13" spans="3:5" x14ac:dyDescent="0.3">
      <c r="C13" t="s">
        <v>8</v>
      </c>
      <c r="D13" t="s">
        <v>11</v>
      </c>
      <c r="E13" t="s">
        <v>18</v>
      </c>
    </row>
    <row r="14" spans="3:5" x14ac:dyDescent="0.3">
      <c r="C14" t="s">
        <v>8</v>
      </c>
      <c r="D14" t="s">
        <v>12</v>
      </c>
      <c r="E14" t="s">
        <v>17</v>
      </c>
    </row>
    <row r="15" spans="3:5" x14ac:dyDescent="0.3">
      <c r="C15" t="s">
        <v>9</v>
      </c>
      <c r="D15" t="s">
        <v>10</v>
      </c>
      <c r="E15" t="s">
        <v>20</v>
      </c>
    </row>
    <row r="16" spans="3:5" x14ac:dyDescent="0.3">
      <c r="C16" t="s">
        <v>9</v>
      </c>
      <c r="D16" t="s">
        <v>11</v>
      </c>
      <c r="E16" t="s">
        <v>21</v>
      </c>
    </row>
    <row r="17" spans="3:13" x14ac:dyDescent="0.3">
      <c r="C17" t="s">
        <v>9</v>
      </c>
      <c r="D17" t="s">
        <v>13</v>
      </c>
      <c r="E17" t="s">
        <v>18</v>
      </c>
    </row>
    <row r="20" spans="3:13" x14ac:dyDescent="0.3">
      <c r="K20" s="28" t="s">
        <v>47</v>
      </c>
      <c r="L20" s="29"/>
      <c r="M20" s="29"/>
    </row>
    <row r="21" spans="3:13" x14ac:dyDescent="0.3">
      <c r="C21" s="5" t="s">
        <v>0</v>
      </c>
      <c r="D21" s="6" t="s">
        <v>28</v>
      </c>
      <c r="E21" s="6" t="s">
        <v>2</v>
      </c>
      <c r="F21" s="6" t="s">
        <v>23</v>
      </c>
      <c r="G21" s="6" t="s">
        <v>22</v>
      </c>
      <c r="H21" s="7" t="s">
        <v>24</v>
      </c>
      <c r="I21" s="6" t="s">
        <v>30</v>
      </c>
      <c r="K21" s="28" t="s">
        <v>40</v>
      </c>
      <c r="L21" s="28"/>
      <c r="M21" s="28"/>
    </row>
    <row r="22" spans="3:13" x14ac:dyDescent="0.3">
      <c r="C22" s="8" t="s">
        <v>3</v>
      </c>
      <c r="D22" s="4">
        <v>0</v>
      </c>
      <c r="E22" s="4" t="s">
        <v>10</v>
      </c>
      <c r="F22" s="4">
        <v>0.85</v>
      </c>
      <c r="G22" s="4" t="s">
        <v>15</v>
      </c>
      <c r="H22" s="9">
        <v>0</v>
      </c>
      <c r="I22" s="18">
        <v>0</v>
      </c>
      <c r="K22" s="4" t="s">
        <v>16</v>
      </c>
      <c r="L22" s="29"/>
      <c r="M22" s="4" t="s">
        <v>33</v>
      </c>
    </row>
    <row r="23" spans="3:13" x14ac:dyDescent="0.3">
      <c r="C23" s="8" t="s">
        <v>4</v>
      </c>
      <c r="D23" s="4">
        <v>0</v>
      </c>
      <c r="E23" s="4" t="s">
        <v>11</v>
      </c>
      <c r="F23" s="4">
        <v>0.1</v>
      </c>
      <c r="G23" s="4" t="s">
        <v>14</v>
      </c>
      <c r="H23" s="9">
        <v>0</v>
      </c>
      <c r="I23" s="4">
        <v>0</v>
      </c>
      <c r="K23" s="4" t="s">
        <v>14</v>
      </c>
      <c r="L23" s="29"/>
      <c r="M23" s="4" t="s">
        <v>34</v>
      </c>
    </row>
    <row r="24" spans="3:13" x14ac:dyDescent="0.3">
      <c r="C24" s="8" t="s">
        <v>3</v>
      </c>
      <c r="D24" s="4">
        <v>0</v>
      </c>
      <c r="E24" s="4" t="s">
        <v>12</v>
      </c>
      <c r="F24" s="4">
        <v>0</v>
      </c>
      <c r="G24" s="4" t="s">
        <v>16</v>
      </c>
      <c r="H24" s="9">
        <v>0</v>
      </c>
      <c r="I24" s="4">
        <v>0</v>
      </c>
      <c r="K24" s="4" t="s">
        <v>15</v>
      </c>
      <c r="L24" s="29"/>
      <c r="M24" s="4" t="s">
        <v>35</v>
      </c>
    </row>
    <row r="25" spans="3:13" x14ac:dyDescent="0.3">
      <c r="C25" s="8" t="s">
        <v>5</v>
      </c>
      <c r="D25" s="4">
        <v>0</v>
      </c>
      <c r="E25" s="4" t="s">
        <v>10</v>
      </c>
      <c r="F25" s="4">
        <v>0.85</v>
      </c>
      <c r="G25" s="4" t="s">
        <v>17</v>
      </c>
      <c r="H25" s="9">
        <v>0</v>
      </c>
      <c r="I25" s="4">
        <v>0</v>
      </c>
      <c r="K25" s="4" t="s">
        <v>32</v>
      </c>
      <c r="L25" s="29"/>
      <c r="M25" s="4" t="s">
        <v>36</v>
      </c>
    </row>
    <row r="26" spans="3:13" x14ac:dyDescent="0.3">
      <c r="C26" s="8" t="s">
        <v>5</v>
      </c>
      <c r="D26" s="4">
        <v>0</v>
      </c>
      <c r="E26" s="4" t="s">
        <v>11</v>
      </c>
      <c r="F26" s="4">
        <v>0.1</v>
      </c>
      <c r="G26" s="4" t="s">
        <v>15</v>
      </c>
      <c r="H26" s="9">
        <v>0</v>
      </c>
      <c r="I26" s="4">
        <v>0</v>
      </c>
      <c r="K26" s="4" t="s">
        <v>18</v>
      </c>
      <c r="L26" s="29"/>
      <c r="M26" s="4" t="s">
        <v>37</v>
      </c>
    </row>
    <row r="27" spans="3:13" x14ac:dyDescent="0.3">
      <c r="C27" s="8" t="s">
        <v>6</v>
      </c>
      <c r="D27" s="4">
        <v>0</v>
      </c>
      <c r="E27" s="4" t="s">
        <v>12</v>
      </c>
      <c r="F27" s="4">
        <v>0</v>
      </c>
      <c r="G27" s="4" t="s">
        <v>14</v>
      </c>
      <c r="H27" s="9">
        <v>0</v>
      </c>
      <c r="I27" s="4">
        <v>0</v>
      </c>
      <c r="K27" s="4" t="s">
        <v>21</v>
      </c>
      <c r="L27" s="29"/>
      <c r="M27" s="4" t="s">
        <v>38</v>
      </c>
    </row>
    <row r="28" spans="3:13" x14ac:dyDescent="0.3">
      <c r="C28" s="8" t="s">
        <v>7</v>
      </c>
      <c r="D28" s="4">
        <v>0</v>
      </c>
      <c r="E28" s="4" t="s">
        <v>10</v>
      </c>
      <c r="F28" s="4">
        <v>0.85</v>
      </c>
      <c r="G28" s="4" t="s">
        <v>18</v>
      </c>
      <c r="H28" s="9">
        <v>0</v>
      </c>
      <c r="I28" s="4">
        <v>0</v>
      </c>
      <c r="K28" s="4" t="s">
        <v>20</v>
      </c>
      <c r="L28" s="29"/>
      <c r="M28" s="4" t="s">
        <v>39</v>
      </c>
    </row>
    <row r="29" spans="3:13" x14ac:dyDescent="0.3">
      <c r="C29" s="8" t="s">
        <v>7</v>
      </c>
      <c r="D29" s="4">
        <v>0</v>
      </c>
      <c r="E29" s="4" t="s">
        <v>11</v>
      </c>
      <c r="F29" s="4">
        <v>0.1</v>
      </c>
      <c r="G29" s="4" t="s">
        <v>17</v>
      </c>
      <c r="H29" s="9">
        <v>0</v>
      </c>
      <c r="I29" s="4">
        <v>0</v>
      </c>
    </row>
    <row r="30" spans="3:13" x14ac:dyDescent="0.3">
      <c r="C30" s="8" t="s">
        <v>7</v>
      </c>
      <c r="D30" s="4">
        <v>0</v>
      </c>
      <c r="E30" s="4" t="s">
        <v>12</v>
      </c>
      <c r="F30" s="4">
        <v>0</v>
      </c>
      <c r="G30" s="4" t="s">
        <v>15</v>
      </c>
      <c r="H30" s="9">
        <v>0</v>
      </c>
      <c r="I30" s="4">
        <v>0</v>
      </c>
    </row>
    <row r="31" spans="3:13" x14ac:dyDescent="0.3">
      <c r="C31" s="8" t="s">
        <v>8</v>
      </c>
      <c r="D31" s="4">
        <v>0.5</v>
      </c>
      <c r="E31" s="4" t="s">
        <v>10</v>
      </c>
      <c r="F31" s="4">
        <v>0.85</v>
      </c>
      <c r="G31" s="10" t="s">
        <v>21</v>
      </c>
      <c r="H31" s="11">
        <v>0.5</v>
      </c>
      <c r="I31" s="23">
        <v>0.5</v>
      </c>
    </row>
    <row r="32" spans="3:13" x14ac:dyDescent="0.3">
      <c r="C32" s="8" t="s">
        <v>8</v>
      </c>
      <c r="D32" s="4">
        <v>0.5</v>
      </c>
      <c r="E32" s="4" t="s">
        <v>11</v>
      </c>
      <c r="F32" s="4">
        <v>0.1</v>
      </c>
      <c r="G32" s="10" t="s">
        <v>18</v>
      </c>
      <c r="H32" s="11">
        <v>0.1</v>
      </c>
      <c r="I32" s="23">
        <v>0.1</v>
      </c>
    </row>
    <row r="33" spans="3:12" x14ac:dyDescent="0.3">
      <c r="C33" s="8" t="s">
        <v>8</v>
      </c>
      <c r="D33" s="4">
        <v>0.5</v>
      </c>
      <c r="E33" s="4" t="s">
        <v>12</v>
      </c>
      <c r="F33" s="4">
        <v>0</v>
      </c>
      <c r="G33" s="14" t="s">
        <v>17</v>
      </c>
      <c r="H33" s="15">
        <v>0</v>
      </c>
      <c r="I33" s="21">
        <v>0</v>
      </c>
    </row>
    <row r="34" spans="3:12" x14ac:dyDescent="0.3">
      <c r="C34" s="8" t="s">
        <v>9</v>
      </c>
      <c r="D34" s="4">
        <v>0.25</v>
      </c>
      <c r="E34" s="4" t="s">
        <v>10</v>
      </c>
      <c r="F34" s="4">
        <v>0.85</v>
      </c>
      <c r="G34" s="10" t="s">
        <v>20</v>
      </c>
      <c r="H34" s="11">
        <v>0.25</v>
      </c>
      <c r="I34" s="23">
        <v>0.25</v>
      </c>
      <c r="K34" s="19" t="s">
        <v>31</v>
      </c>
      <c r="L34" s="19"/>
    </row>
    <row r="35" spans="3:12" x14ac:dyDescent="0.3">
      <c r="C35" s="8" t="s">
        <v>9</v>
      </c>
      <c r="D35" s="4">
        <v>0.25</v>
      </c>
      <c r="E35" s="4" t="s">
        <v>11</v>
      </c>
      <c r="F35" s="4">
        <v>0.1</v>
      </c>
      <c r="G35" s="10" t="s">
        <v>21</v>
      </c>
      <c r="H35" s="11">
        <v>0.1</v>
      </c>
      <c r="I35" s="23">
        <v>0.1</v>
      </c>
    </row>
    <row r="36" spans="3:12" x14ac:dyDescent="0.3">
      <c r="C36" s="12" t="s">
        <v>9</v>
      </c>
      <c r="D36" s="13">
        <v>0.25</v>
      </c>
      <c r="E36" s="13" t="s">
        <v>13</v>
      </c>
      <c r="F36" s="13">
        <v>0</v>
      </c>
      <c r="G36" s="16" t="s">
        <v>18</v>
      </c>
      <c r="H36" s="17">
        <v>0</v>
      </c>
      <c r="I36" s="22">
        <v>0</v>
      </c>
    </row>
    <row r="38" spans="3:12" x14ac:dyDescent="0.3">
      <c r="C38" s="3" t="s">
        <v>25</v>
      </c>
      <c r="D38" s="2" t="s">
        <v>26</v>
      </c>
      <c r="I38" s="20" t="s">
        <v>43</v>
      </c>
      <c r="J38" s="20" t="s">
        <v>44</v>
      </c>
      <c r="K38" s="20">
        <v>0.1</v>
      </c>
    </row>
    <row r="39" spans="3:12" x14ac:dyDescent="0.3">
      <c r="C39" s="2"/>
      <c r="D39" s="2" t="s">
        <v>27</v>
      </c>
      <c r="I39" s="4" t="s">
        <v>29</v>
      </c>
      <c r="J39" s="4">
        <v>0.1</v>
      </c>
    </row>
    <row r="40" spans="3:12" x14ac:dyDescent="0.3">
      <c r="C40" s="27"/>
      <c r="D40" s="27"/>
      <c r="I40" s="4" t="s">
        <v>20</v>
      </c>
      <c r="J40" s="4">
        <v>0.25</v>
      </c>
    </row>
    <row r="42" spans="3:12" x14ac:dyDescent="0.3">
      <c r="C42" s="4" t="s">
        <v>10</v>
      </c>
      <c r="D42" s="4">
        <f>(40 - 23)/(40 - 20)</f>
        <v>0.85</v>
      </c>
      <c r="I42" s="24" t="s">
        <v>41</v>
      </c>
      <c r="J42" s="24" t="s">
        <v>42</v>
      </c>
    </row>
    <row r="43" spans="3:12" x14ac:dyDescent="0.3">
      <c r="C43" s="4" t="s">
        <v>7</v>
      </c>
      <c r="D43" s="4">
        <f>(23 - 20)/(50 - 20)</f>
        <v>0.1</v>
      </c>
      <c r="I43" s="24" t="s">
        <v>45</v>
      </c>
      <c r="J43" s="24">
        <f xml:space="preserve"> (0.4 * 7) + (0.1 * 5) + (0.25 * 8) + (0.1 * 7) / (7 + 5 + 8 + 7)</f>
        <v>5.3259259259259268</v>
      </c>
      <c r="K43" s="25" t="s">
        <v>46</v>
      </c>
      <c r="L43" s="25" t="s">
        <v>18</v>
      </c>
    </row>
    <row r="44" spans="3:12" x14ac:dyDescent="0.3">
      <c r="C44" s="4" t="s">
        <v>12</v>
      </c>
      <c r="D44" s="4">
        <v>0</v>
      </c>
    </row>
    <row r="52" spans="3:4" x14ac:dyDescent="0.3">
      <c r="C52" s="4" t="s">
        <v>4</v>
      </c>
      <c r="D52" s="4">
        <v>0</v>
      </c>
    </row>
    <row r="53" spans="3:4" x14ac:dyDescent="0.3">
      <c r="C53" s="4" t="s">
        <v>5</v>
      </c>
      <c r="D53" s="4">
        <v>0</v>
      </c>
    </row>
    <row r="54" spans="3:4" x14ac:dyDescent="0.3">
      <c r="C54" s="4" t="s">
        <v>11</v>
      </c>
      <c r="D54" s="4">
        <v>0</v>
      </c>
    </row>
    <row r="55" spans="3:4" x14ac:dyDescent="0.3">
      <c r="C55" s="4" t="s">
        <v>8</v>
      </c>
      <c r="D55" s="4">
        <f>(40-37.5)/(40-35)</f>
        <v>0.5</v>
      </c>
    </row>
    <row r="56" spans="3:4" x14ac:dyDescent="0.3">
      <c r="C56" s="4" t="s">
        <v>9</v>
      </c>
      <c r="D56" s="4">
        <f>(37.5 - 35)/(45 - 35)</f>
        <v>0.25</v>
      </c>
    </row>
  </sheetData>
  <mergeCells count="5">
    <mergeCell ref="C1:E1"/>
    <mergeCell ref="C40:D40"/>
    <mergeCell ref="K21:M21"/>
    <mergeCell ref="L22:L28"/>
    <mergeCell ref="K20:M20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FuzzySuhudanKelembapan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Lewis</dc:creator>
  <cp:lastModifiedBy>Farah Faizah</cp:lastModifiedBy>
  <dcterms:created xsi:type="dcterms:W3CDTF">2023-10-12T23:16:42Z</dcterms:created>
  <dcterms:modified xsi:type="dcterms:W3CDTF">2023-10-20T14:22:05Z</dcterms:modified>
</cp:coreProperties>
</file>